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etparker/Sites/alwaysready-inspection-readiness-platform/docs/"/>
    </mc:Choice>
  </mc:AlternateContent>
  <xr:revisionPtr revIDLastSave="0" documentId="13_ncr:1_{34904313-D246-A045-9A97-8CEEDF157591}" xr6:coauthVersionLast="47" xr6:coauthVersionMax="47" xr10:uidLastSave="{00000000-0000-0000-0000-000000000000}"/>
  <bookViews>
    <workbookView xWindow="0" yWindow="660" windowWidth="29400" windowHeight="16840" tabRatio="500" xr2:uid="{00000000-000D-0000-FFFF-FFFF00000000}"/>
  </bookViews>
  <sheets>
    <sheet name="Key Rotation Lo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6" i="1" l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</calcChain>
</file>

<file path=xl/sharedStrings.xml><?xml version="1.0" encoding="utf-8"?>
<sst xmlns="http://schemas.openxmlformats.org/spreadsheetml/2006/main" count="61" uniqueCount="52">
  <si>
    <t>AlwaysReady Platform — API Key Rotation Log</t>
  </si>
  <si>
    <t>Enter the date you last rotated each key in column E. Column F calculates the next due date automatically. Do not store actual key values here.</t>
  </si>
  <si>
    <t>Key / Variable</t>
  </si>
  <si>
    <t>Service</t>
  </si>
  <si>
    <t>Where to rotate</t>
  </si>
  <si>
    <t>Interval
(months)</t>
  </si>
  <si>
    <t>Last rotated
← enter date</t>
  </si>
  <si>
    <t>Next due
(auto)</t>
  </si>
  <si>
    <t>Status
(auto)</t>
  </si>
  <si>
    <t>NEXT_PUBLIC_SUPABASE_ANON_KEY</t>
  </si>
  <si>
    <t>Supabase</t>
  </si>
  <si>
    <t>Dashboard → Project Settings → API → Roll</t>
  </si>
  <si>
    <t>SUPABASE_SERVICE_ROLE_KEY</t>
  </si>
  <si>
    <t>RESEND_API_KEY</t>
  </si>
  <si>
    <t>Resend</t>
  </si>
  <si>
    <t>resend.com → API Keys → Create new → delete old</t>
  </si>
  <si>
    <t>STRIPE_SECRET_KEY</t>
  </si>
  <si>
    <t>Stripe</t>
  </si>
  <si>
    <t>dashboard.stripe.com → Developers → API keys → Roll key</t>
  </si>
  <si>
    <t>STRIPE_WEBHOOK_SECRET</t>
  </si>
  <si>
    <t>dashboard.stripe.com → Developers → Webhooks → Roll secret</t>
  </si>
  <si>
    <t>ANTHROPIC_API_KEY</t>
  </si>
  <si>
    <t>Anthropic</t>
  </si>
  <si>
    <t>console.anthropic.com → API Keys → Create new → delete old</t>
  </si>
  <si>
    <t>CLOUDMERSIVE_API_KEY</t>
  </si>
  <si>
    <t>Cloudmersive</t>
  </si>
  <si>
    <t>cloudmersive.com → Account → API Keys → Regenerate</t>
  </si>
  <si>
    <t>INBOUND_EMAIL_SECRET</t>
  </si>
  <si>
    <t>Self-generated</t>
  </si>
  <si>
    <t>openssl rand -hex 32 → update Vercel + Cloudflare Worker</t>
  </si>
  <si>
    <t>CRON_SECRET</t>
  </si>
  <si>
    <t>openssl rand -hex 32 → update Vercel env var</t>
  </si>
  <si>
    <t>UNSUBSCRIBE_SECRET</t>
  </si>
  <si>
    <t>ZEEG_WEBHOOK_TOKEN</t>
  </si>
  <si>
    <t>Zeeg</t>
  </si>
  <si>
    <t>Zeeg dashboard → Webhooks → Regenerate token</t>
  </si>
  <si>
    <t>UPSTASH_REDIS_REST_TOKEN</t>
  </si>
  <si>
    <t>Upstash</t>
  </si>
  <si>
    <t>console.upstash.com → Redis → REST API → Reset token</t>
  </si>
  <si>
    <t>SENTRY_AUTH_TOKEN</t>
  </si>
  <si>
    <t>Sentry</t>
  </si>
  <si>
    <t>sentry.io → Settings → Personal Tokens → Create new → delete old</t>
  </si>
  <si>
    <t>NEXT_PUBLIC_SENTRY_DSN</t>
  </si>
  <si>
    <t>Not a secret — no rotation needed</t>
  </si>
  <si>
    <t>N/A</t>
  </si>
  <si>
    <t>🟡 Yellow cells = enter date here    |    ⚠ OVERDUE = rotation is past due    |    Due soon = within 30 days    |    ✓ OK = rotation is current</t>
  </si>
  <si>
    <t>Notes</t>
  </si>
  <si>
    <t>Supabase Anon Key — safe to rotate; triggers a brief auth token refresh for logged-in users.</t>
  </si>
  <si>
    <t>Supabase Service Role Key — rotate with care; used server-side only. Update Vercel env var and redeploy immediately after.</t>
  </si>
  <si>
    <t>Self-generated secrets (INBOUND_EMAIL_SECRET, CRON_SECRET, UNSUBSCRIBE_SECRET) — generate with: openssl rand -hex 32</t>
  </si>
  <si>
    <t>Stripe Secret Key — Stripe supports zero-downtime rolling: generate new key, update Vercel, verify, then revoke old.</t>
  </si>
  <si>
    <t>Upstash Redis Token — resetting the token invalidates all existing connections immediately; update Vercel and redeploy straight away.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</si>
</sst>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sz val="9"/>
      <color rgb="FF555555"/>
      <name val="Arial"/>
      <family val="2"/>
    </font>
    <font>
      <b/>
      <sz val="10"/>
      <color rgb="FFFFFFFF"/>
      <name val="Arial"/>
      <family val="2"/>
    </font>
    <font>
      <sz val="9"/>
      <color rgb="FF1A1A1A"/>
      <name val="Courier New"/>
      <family val="1"/>
    </font>
    <font>
      <sz val="10"/>
      <color rgb="FF1A1A1A"/>
      <name val="Arial"/>
      <family val="2"/>
    </font>
    <font>
      <sz val="9"/>
      <color rgb="FF1A1A1A"/>
      <name val="Arial"/>
      <family val="2"/>
    </font>
    <font>
      <b/>
      <sz val="10"/>
      <color rgb="FF014D4E"/>
      <name val="Calibri"/>
      <family val="2"/>
    </font>
    <font>
      <sz val="9"/>
      <color rgb="FF1A1A1A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14D4E"/>
        <bgColor rgb="FF003300"/>
      </patternFill>
    </fill>
    <fill>
      <patternFill patternType="solid">
        <fgColor rgb="FFF5F5F5"/>
        <bgColor rgb="FFF7FBFB"/>
      </patternFill>
    </fill>
    <fill>
      <patternFill patternType="solid">
        <fgColor rgb="FFE8F4F4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7FBFB"/>
        <bgColor rgb="FFF5F5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indent="1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 wrapText="1" indent="1"/>
    </xf>
    <xf numFmtId="14" fontId="5" fillId="5" borderId="1" xfId="0" applyNumberFormat="1" applyFont="1" applyFill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vertical="center" indent="1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 indent="1"/>
    </xf>
    <xf numFmtId="14" fontId="5" fillId="6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8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B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14D4E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26"/>
  <sheetViews>
    <sheetView tabSelected="1" zoomScale="158" zoomScaleNormal="100" workbookViewId="0">
      <pane ySplit="3" topLeftCell="A9" activePane="bottomLeft" state="frozen"/>
      <selection pane="bottomLeft" activeCell="F19" sqref="F19"/>
    </sheetView>
  </sheetViews>
  <sheetFormatPr baseColWidth="10" defaultColWidth="8.6640625" defaultRowHeight="15" x14ac:dyDescent="0.2"/>
  <cols>
    <col min="1" max="1" width="32" customWidth="1"/>
    <col min="2" max="2" width="16" customWidth="1"/>
    <col min="3" max="3" width="40" customWidth="1"/>
    <col min="4" max="4" width="12" customWidth="1"/>
    <col min="5" max="6" width="16" customWidth="1"/>
    <col min="7" max="7" width="14" customWidth="1"/>
  </cols>
  <sheetData>
    <row r="1" spans="1:7" ht="27.75" customHeight="1" x14ac:dyDescent="0.2">
      <c r="A1" s="3" t="s">
        <v>0</v>
      </c>
      <c r="B1" s="3"/>
      <c r="C1" s="3"/>
      <c r="D1" s="3"/>
      <c r="E1" s="3"/>
      <c r="F1" s="3"/>
      <c r="G1" s="3"/>
    </row>
    <row r="2" spans="1:7" ht="24" customHeight="1" x14ac:dyDescent="0.2">
      <c r="A2" s="2" t="s">
        <v>1</v>
      </c>
      <c r="B2" s="2"/>
      <c r="C2" s="2"/>
      <c r="D2" s="2"/>
      <c r="E2" s="2"/>
      <c r="F2" s="2"/>
      <c r="G2" s="2"/>
    </row>
    <row r="3" spans="1:7" ht="31.5" customHeight="1" x14ac:dyDescent="0.2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</row>
    <row r="4" spans="1:7" ht="21.75" customHeight="1" x14ac:dyDescent="0.2">
      <c r="A4" s="5" t="s">
        <v>9</v>
      </c>
      <c r="B4" s="6" t="s">
        <v>10</v>
      </c>
      <c r="C4" s="7" t="s">
        <v>11</v>
      </c>
      <c r="D4" s="6">
        <v>12</v>
      </c>
      <c r="E4" s="8">
        <v>46218</v>
      </c>
      <c r="F4" s="9">
        <f t="shared" ref="F4:F16" si="0">IFERROR(IF(E4="","",EDATE(E4,D4)),"")</f>
        <v>46583</v>
      </c>
      <c r="G4" s="6" t="str">
        <f t="shared" ref="G4:G16" ca="1" si="1">IFERROR(IF(F4="","Not set",IF(F4&lt;TODAY(),"⚠ OVERDUE",IF(F4&lt;=TODAY()+30,"Due soon","✓ OK"))),"Not set")</f>
        <v>✓ OK</v>
      </c>
    </row>
    <row r="5" spans="1:7" ht="21.75" customHeight="1" x14ac:dyDescent="0.2">
      <c r="A5" s="10" t="s">
        <v>12</v>
      </c>
      <c r="B5" s="11" t="s">
        <v>10</v>
      </c>
      <c r="C5" s="12" t="s">
        <v>11</v>
      </c>
      <c r="D5" s="11">
        <v>6</v>
      </c>
      <c r="E5" s="8">
        <v>46218</v>
      </c>
      <c r="F5" s="13">
        <f t="shared" si="0"/>
        <v>46402</v>
      </c>
      <c r="G5" s="11" t="str">
        <f t="shared" ca="1" si="1"/>
        <v>✓ OK</v>
      </c>
    </row>
    <row r="6" spans="1:7" ht="21.75" customHeight="1" x14ac:dyDescent="0.2">
      <c r="A6" s="5" t="s">
        <v>13</v>
      </c>
      <c r="B6" s="6" t="s">
        <v>14</v>
      </c>
      <c r="C6" s="7" t="s">
        <v>15</v>
      </c>
      <c r="D6" s="6">
        <v>12</v>
      </c>
      <c r="E6" s="8">
        <v>46220</v>
      </c>
      <c r="F6" s="9">
        <f t="shared" si="0"/>
        <v>46585</v>
      </c>
      <c r="G6" s="6" t="str">
        <f t="shared" ca="1" si="1"/>
        <v>✓ OK</v>
      </c>
    </row>
    <row r="7" spans="1:7" ht="21.75" customHeight="1" x14ac:dyDescent="0.2">
      <c r="A7" s="10" t="s">
        <v>16</v>
      </c>
      <c r="B7" s="11" t="s">
        <v>17</v>
      </c>
      <c r="C7" s="12" t="s">
        <v>18</v>
      </c>
      <c r="D7" s="11">
        <v>12</v>
      </c>
      <c r="E7" s="8">
        <v>46230</v>
      </c>
      <c r="F7" s="13">
        <f t="shared" si="0"/>
        <v>46595</v>
      </c>
      <c r="G7" s="11" t="str">
        <f t="shared" ca="1" si="1"/>
        <v>✓ OK</v>
      </c>
    </row>
    <row r="8" spans="1:7" ht="21.75" customHeight="1" x14ac:dyDescent="0.2">
      <c r="A8" s="5" t="s">
        <v>19</v>
      </c>
      <c r="B8" s="6" t="s">
        <v>17</v>
      </c>
      <c r="C8" s="7" t="s">
        <v>20</v>
      </c>
      <c r="D8" s="6">
        <v>12</v>
      </c>
      <c r="E8" s="8">
        <v>46230</v>
      </c>
      <c r="F8" s="9">
        <f t="shared" si="0"/>
        <v>46595</v>
      </c>
      <c r="G8" s="6" t="str">
        <f t="shared" ca="1" si="1"/>
        <v>✓ OK</v>
      </c>
    </row>
    <row r="9" spans="1:7" ht="21.75" customHeight="1" x14ac:dyDescent="0.2">
      <c r="A9" s="10" t="s">
        <v>21</v>
      </c>
      <c r="B9" s="11" t="s">
        <v>22</v>
      </c>
      <c r="C9" s="12" t="s">
        <v>23</v>
      </c>
      <c r="D9" s="11">
        <v>12</v>
      </c>
      <c r="E9" s="8">
        <v>46240</v>
      </c>
      <c r="F9" s="13">
        <f t="shared" si="0"/>
        <v>46605</v>
      </c>
      <c r="G9" s="11" t="str">
        <f t="shared" ca="1" si="1"/>
        <v>✓ OK</v>
      </c>
    </row>
    <row r="10" spans="1:7" ht="21.75" customHeight="1" x14ac:dyDescent="0.2">
      <c r="A10" s="5" t="s">
        <v>24</v>
      </c>
      <c r="B10" s="6" t="s">
        <v>25</v>
      </c>
      <c r="C10" s="7" t="s">
        <v>26</v>
      </c>
      <c r="D10" s="6">
        <v>12</v>
      </c>
      <c r="E10" s="8">
        <v>46220</v>
      </c>
      <c r="F10" s="9">
        <f t="shared" si="0"/>
        <v>46585</v>
      </c>
      <c r="G10" s="6" t="str">
        <f t="shared" ca="1" si="1"/>
        <v>✓ OK</v>
      </c>
    </row>
    <row r="11" spans="1:7" ht="21.75" customHeight="1" x14ac:dyDescent="0.2">
      <c r="A11" s="10" t="s">
        <v>27</v>
      </c>
      <c r="B11" s="11" t="s">
        <v>28</v>
      </c>
      <c r="C11" s="12" t="s">
        <v>29</v>
      </c>
      <c r="D11" s="11">
        <v>12</v>
      </c>
      <c r="E11" s="8">
        <v>46231</v>
      </c>
      <c r="F11" s="13">
        <f t="shared" si="0"/>
        <v>46596</v>
      </c>
      <c r="G11" s="11" t="str">
        <f t="shared" ca="1" si="1"/>
        <v>✓ OK</v>
      </c>
    </row>
    <row r="12" spans="1:7" ht="21.75" customHeight="1" x14ac:dyDescent="0.2">
      <c r="A12" s="5" t="s">
        <v>30</v>
      </c>
      <c r="B12" s="6" t="s">
        <v>28</v>
      </c>
      <c r="C12" s="7" t="s">
        <v>31</v>
      </c>
      <c r="D12" s="6">
        <v>12</v>
      </c>
      <c r="E12" s="8">
        <v>46219</v>
      </c>
      <c r="F12" s="9">
        <f t="shared" si="0"/>
        <v>46584</v>
      </c>
      <c r="G12" s="6" t="str">
        <f t="shared" ca="1" si="1"/>
        <v>✓ OK</v>
      </c>
    </row>
    <row r="13" spans="1:7" ht="21.75" customHeight="1" x14ac:dyDescent="0.2">
      <c r="A13" s="10" t="s">
        <v>32</v>
      </c>
      <c r="B13" s="11" t="s">
        <v>28</v>
      </c>
      <c r="C13" s="12" t="s">
        <v>31</v>
      </c>
      <c r="D13" s="11">
        <v>12</v>
      </c>
      <c r="E13" s="8">
        <v>46221</v>
      </c>
      <c r="F13" s="13">
        <f t="shared" si="0"/>
        <v>46586</v>
      </c>
      <c r="G13" s="11" t="str">
        <f t="shared" ca="1" si="1"/>
        <v>✓ OK</v>
      </c>
    </row>
    <row r="14" spans="1:7" ht="21.75" customHeight="1" x14ac:dyDescent="0.2">
      <c r="A14" s="5" t="s">
        <v>33</v>
      </c>
      <c r="B14" s="6" t="s">
        <v>34</v>
      </c>
      <c r="C14" s="7" t="s">
        <v>35</v>
      </c>
      <c r="D14" s="6">
        <v>12</v>
      </c>
      <c r="E14" s="8">
        <v>46236</v>
      </c>
      <c r="F14" s="9">
        <f t="shared" si="0"/>
        <v>46601</v>
      </c>
      <c r="G14" s="6" t="str">
        <f t="shared" ca="1" si="1"/>
        <v>✓ OK</v>
      </c>
    </row>
    <row r="15" spans="1:7" ht="21.75" customHeight="1" x14ac:dyDescent="0.2">
      <c r="A15" s="10" t="s">
        <v>36</v>
      </c>
      <c r="B15" s="11" t="s">
        <v>37</v>
      </c>
      <c r="C15" s="12" t="s">
        <v>38</v>
      </c>
      <c r="D15" s="11">
        <v>12</v>
      </c>
      <c r="E15" s="8">
        <v>46257</v>
      </c>
      <c r="F15" s="13">
        <f t="shared" si="0"/>
        <v>46622</v>
      </c>
      <c r="G15" s="11" t="str">
        <f t="shared" ca="1" si="1"/>
        <v>✓ OK</v>
      </c>
    </row>
    <row r="16" spans="1:7" ht="21.75" customHeight="1" x14ac:dyDescent="0.2">
      <c r="A16" s="5" t="s">
        <v>39</v>
      </c>
      <c r="B16" s="6" t="s">
        <v>40</v>
      </c>
      <c r="C16" s="7" t="s">
        <v>41</v>
      </c>
      <c r="D16" s="6">
        <v>12</v>
      </c>
      <c r="E16" s="8">
        <v>46257</v>
      </c>
      <c r="F16" s="9">
        <f t="shared" si="0"/>
        <v>46622</v>
      </c>
      <c r="G16" s="6" t="str">
        <f t="shared" ca="1" si="1"/>
        <v>✓ OK</v>
      </c>
    </row>
    <row r="17" spans="1:7" ht="21.75" customHeight="1" x14ac:dyDescent="0.2">
      <c r="A17" s="10" t="s">
        <v>42</v>
      </c>
      <c r="B17" s="11" t="s">
        <v>40</v>
      </c>
      <c r="C17" s="12" t="s">
        <v>43</v>
      </c>
      <c r="D17" s="11" t="s">
        <v>44</v>
      </c>
      <c r="E17" s="8">
        <v>46257</v>
      </c>
      <c r="F17" s="13" t="s">
        <v>44</v>
      </c>
      <c r="G17" s="11" t="s">
        <v>44</v>
      </c>
    </row>
    <row r="18" spans="1:7" ht="19.5" customHeight="1" x14ac:dyDescent="0.2">
      <c r="A18" s="1" t="s">
        <v>45</v>
      </c>
      <c r="B18" s="1"/>
      <c r="C18" s="1"/>
      <c r="D18" s="1"/>
      <c r="E18" s="1"/>
      <c r="F18" s="1"/>
      <c r="G18" s="1"/>
    </row>
    <row r="21" spans="1:7" x14ac:dyDescent="0.2">
      <c r="A21" s="14" t="s">
        <v>46</v>
      </c>
    </row>
    <row r="22" spans="1:7" x14ac:dyDescent="0.2">
      <c r="A22" s="15" t="s">
        <v>47</v>
      </c>
    </row>
    <row r="23" spans="1:7" x14ac:dyDescent="0.2">
      <c r="A23" s="15" t="s">
        <v>48</v>
      </c>
    </row>
    <row r="24" spans="1:7" x14ac:dyDescent="0.2">
      <c r="A24" s="15" t="s">
        <v>49</v>
      </c>
    </row>
    <row r="25" spans="1:7" x14ac:dyDescent="0.2">
      <c r="A25" s="15" t="s">
        <v>50</v>
      </c>
    </row>
    <row r="26" spans="1:7" x14ac:dyDescent="0.2">
      <c r="A26" s="15" t="s">
        <v>51</v>
      </c>
    </row>
  </sheetData>
  <mergeCells count="3">
    <mergeCell ref="A1:G1"/>
    <mergeCell ref="A2:G2"/>
    <mergeCell ref="A18:G18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Key Rotation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Ethna Parker</cp:lastModifiedBy>
  <cp:revision>0</cp:revision>
  <dcterms:created xsi:type="dcterms:W3CDTF">2026-08-23T15:36:14Z</dcterms:created>
  <dcterms:modified xsi:type="dcterms:W3CDTF">2026-08-23T15:52:02Z</dcterms:modified>
  <dc:language>en-US</dc:language>
</cp:coreProperties>
</file>